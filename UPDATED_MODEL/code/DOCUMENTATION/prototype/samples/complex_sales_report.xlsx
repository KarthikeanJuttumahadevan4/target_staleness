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4_Sales_2024" sheetId="1" state="visible" r:id="rId1"/>
    <sheet name="Dashboard" sheetId="2" state="visible" r:id="rId2"/>
    <sheet name="Product_Cata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Product</t>
        </is>
      </c>
      <c r="D1" s="1" t="inlineStr">
        <is>
          <t>Units_Sold</t>
        </is>
      </c>
      <c r="E1" s="1" t="inlineStr">
        <is>
          <t>Unit_Price</t>
        </is>
      </c>
      <c r="F1" s="1" t="inlineStr">
        <is>
          <t>Revenue</t>
        </is>
      </c>
      <c r="G1" s="1" t="inlineStr">
        <is>
          <t>Cost</t>
        </is>
      </c>
      <c r="H1" s="1" t="inlineStr">
        <is>
          <t>Profit</t>
        </is>
      </c>
    </row>
    <row r="2">
      <c r="A2" s="2" t="n">
        <v>45592</v>
      </c>
      <c r="B2" t="inlineStr">
        <is>
          <t>East</t>
        </is>
      </c>
      <c r="C2" t="inlineStr">
        <is>
          <t>Gadget Y</t>
        </is>
      </c>
      <c r="D2" t="n">
        <v>273</v>
      </c>
      <c r="E2" t="n">
        <v>166.46</v>
      </c>
      <c r="F2">
        <f>D2*E2</f>
        <v/>
      </c>
      <c r="G2">
        <f>D2*74.48</f>
        <v/>
      </c>
      <c r="H2">
        <f>F2-G2</f>
        <v/>
      </c>
    </row>
    <row r="3">
      <c r="A3" s="2" t="n">
        <v>45635</v>
      </c>
      <c r="B3" t="inlineStr">
        <is>
          <t>North</t>
        </is>
      </c>
      <c r="C3" t="inlineStr">
        <is>
          <t>Gadget Y</t>
        </is>
      </c>
      <c r="D3" t="n">
        <v>60</v>
      </c>
      <c r="E3" t="n">
        <v>174.29</v>
      </c>
      <c r="F3">
        <f>D3*E3</f>
        <v/>
      </c>
      <c r="G3">
        <f>D3*100.74</f>
        <v/>
      </c>
      <c r="H3">
        <f>F3-G3</f>
        <v/>
      </c>
    </row>
    <row r="4">
      <c r="A4" s="2" t="n">
        <v>45645</v>
      </c>
      <c r="B4" t="inlineStr">
        <is>
          <t>East</t>
        </is>
      </c>
      <c r="C4" t="inlineStr">
        <is>
          <t>Widget A</t>
        </is>
      </c>
      <c r="D4" t="n">
        <v>104</v>
      </c>
      <c r="E4" t="n">
        <v>131.06</v>
      </c>
      <c r="F4">
        <f>D4*E4</f>
        <v/>
      </c>
      <c r="G4">
        <f>D4*64.62</f>
        <v/>
      </c>
      <c r="H4">
        <f>F4-G4</f>
        <v/>
      </c>
    </row>
    <row r="5">
      <c r="A5" s="2" t="n">
        <v>45648</v>
      </c>
      <c r="B5" t="inlineStr">
        <is>
          <t>South</t>
        </is>
      </c>
      <c r="C5" t="inlineStr">
        <is>
          <t>Gadget X</t>
        </is>
      </c>
      <c r="D5" t="n">
        <v>18</v>
      </c>
      <c r="E5" t="n">
        <v>30.3</v>
      </c>
      <c r="F5">
        <f>D5*E5</f>
        <v/>
      </c>
      <c r="G5">
        <f>D5*12.89</f>
        <v/>
      </c>
      <c r="H5">
        <f>F5-G5</f>
        <v/>
      </c>
    </row>
    <row r="6">
      <c r="A6" s="2" t="n">
        <v>45630</v>
      </c>
      <c r="B6" t="inlineStr">
        <is>
          <t>North</t>
        </is>
      </c>
      <c r="C6" t="inlineStr">
        <is>
          <t>Gadget X</t>
        </is>
      </c>
      <c r="D6" t="n">
        <v>165</v>
      </c>
      <c r="E6" t="n">
        <v>167.05</v>
      </c>
      <c r="F6">
        <f>D6*E6</f>
        <v/>
      </c>
      <c r="G6">
        <f>D6*90.24</f>
        <v/>
      </c>
      <c r="H6">
        <f>F6-G6</f>
        <v/>
      </c>
    </row>
    <row r="7">
      <c r="A7" s="2" t="n">
        <v>45569</v>
      </c>
      <c r="B7" t="inlineStr">
        <is>
          <t>West</t>
        </is>
      </c>
      <c r="C7" t="inlineStr">
        <is>
          <t>Widget A</t>
        </is>
      </c>
      <c r="D7" t="n">
        <v>388</v>
      </c>
      <c r="E7" t="n">
        <v>192.92</v>
      </c>
      <c r="F7">
        <f>D7*E7</f>
        <v/>
      </c>
      <c r="G7">
        <f>D7*82.67</f>
        <v/>
      </c>
      <c r="H7">
        <f>F7-G7</f>
        <v/>
      </c>
    </row>
    <row r="8">
      <c r="A8" s="2" t="n">
        <v>45651</v>
      </c>
      <c r="B8" t="inlineStr">
        <is>
          <t>North</t>
        </is>
      </c>
      <c r="C8" t="inlineStr">
        <is>
          <t>Widget A</t>
        </is>
      </c>
      <c r="D8" t="n">
        <v>479</v>
      </c>
      <c r="E8" t="n">
        <v>84.95999999999999</v>
      </c>
      <c r="F8">
        <f>D8*E8</f>
        <v/>
      </c>
      <c r="G8">
        <f>D8*49.36</f>
        <v/>
      </c>
      <c r="H8">
        <f>F8-G8</f>
        <v/>
      </c>
    </row>
    <row r="9">
      <c r="A9" s="2" t="n">
        <v>45651</v>
      </c>
      <c r="B9" t="inlineStr">
        <is>
          <t>North</t>
        </is>
      </c>
      <c r="C9" t="inlineStr">
        <is>
          <t>Gadget X</t>
        </is>
      </c>
      <c r="D9" t="n">
        <v>181</v>
      </c>
      <c r="E9" t="n">
        <v>55.63</v>
      </c>
      <c r="F9">
        <f>D9*E9</f>
        <v/>
      </c>
      <c r="G9">
        <f>D9*23.93</f>
        <v/>
      </c>
      <c r="H9">
        <f>F9-G9</f>
        <v/>
      </c>
    </row>
    <row r="10">
      <c r="A10" s="2" t="n">
        <v>45596</v>
      </c>
      <c r="B10" t="inlineStr">
        <is>
          <t>East</t>
        </is>
      </c>
      <c r="C10" t="inlineStr">
        <is>
          <t>Gadget X</t>
        </is>
      </c>
      <c r="D10" t="n">
        <v>310</v>
      </c>
      <c r="E10" t="n">
        <v>142.06</v>
      </c>
      <c r="F10">
        <f>D10*E10</f>
        <v/>
      </c>
      <c r="G10">
        <f>D10*84.56</f>
        <v/>
      </c>
      <c r="H10">
        <f>F10-G10</f>
        <v/>
      </c>
    </row>
    <row r="11">
      <c r="A11" s="2" t="n">
        <v>45584</v>
      </c>
      <c r="B11" t="inlineStr">
        <is>
          <t>North</t>
        </is>
      </c>
      <c r="C11" t="inlineStr">
        <is>
          <t>Gadget X</t>
        </is>
      </c>
      <c r="D11" t="n">
        <v>467</v>
      </c>
      <c r="E11" t="n">
        <v>69.69</v>
      </c>
      <c r="F11">
        <f>D11*E11</f>
        <v/>
      </c>
      <c r="G11">
        <f>D11*46.68</f>
        <v/>
      </c>
      <c r="H11">
        <f>F11-G11</f>
        <v/>
      </c>
    </row>
    <row r="12">
      <c r="A12" s="2" t="n">
        <v>45617</v>
      </c>
      <c r="B12" t="inlineStr">
        <is>
          <t>South</t>
        </is>
      </c>
      <c r="C12" t="inlineStr">
        <is>
          <t>Gadget Y</t>
        </is>
      </c>
      <c r="D12" t="n">
        <v>331</v>
      </c>
      <c r="E12" t="n">
        <v>67.08</v>
      </c>
      <c r="F12">
        <f>D12*E12</f>
        <v/>
      </c>
      <c r="G12">
        <f>D12*38.29</f>
        <v/>
      </c>
      <c r="H12">
        <f>F12-G12</f>
        <v/>
      </c>
    </row>
    <row r="13">
      <c r="A13" s="2" t="n">
        <v>45580</v>
      </c>
      <c r="B13" t="inlineStr">
        <is>
          <t>East</t>
        </is>
      </c>
      <c r="C13" t="inlineStr">
        <is>
          <t>Gadget X</t>
        </is>
      </c>
      <c r="D13" t="n">
        <v>477</v>
      </c>
      <c r="E13" t="n">
        <v>42.9</v>
      </c>
      <c r="F13">
        <f>D13*E13</f>
        <v/>
      </c>
      <c r="G13">
        <f>D13*28.35</f>
        <v/>
      </c>
      <c r="H13">
        <f>F13-G13</f>
        <v/>
      </c>
    </row>
    <row r="14">
      <c r="A14" s="2" t="n">
        <v>45632</v>
      </c>
      <c r="B14" t="inlineStr">
        <is>
          <t>South</t>
        </is>
      </c>
      <c r="C14" t="inlineStr">
        <is>
          <t>Gadget Y</t>
        </is>
      </c>
      <c r="D14" t="n">
        <v>203</v>
      </c>
      <c r="E14" t="n">
        <v>127.72</v>
      </c>
      <c r="F14">
        <f>D14*E14</f>
        <v/>
      </c>
      <c r="G14">
        <f>D14*88.31</f>
        <v/>
      </c>
      <c r="H14">
        <f>F14-G14</f>
        <v/>
      </c>
    </row>
    <row r="15">
      <c r="A15" s="2" t="n">
        <v>45651</v>
      </c>
      <c r="B15" t="inlineStr">
        <is>
          <t>North</t>
        </is>
      </c>
      <c r="C15" t="inlineStr">
        <is>
          <t>Gadget Y</t>
        </is>
      </c>
      <c r="D15" t="n">
        <v>22</v>
      </c>
      <c r="E15" t="n">
        <v>79.81999999999999</v>
      </c>
      <c r="F15">
        <f>D15*E15</f>
        <v/>
      </c>
      <c r="G15">
        <f>D15*52.92</f>
        <v/>
      </c>
      <c r="H15">
        <f>F15-G15</f>
        <v/>
      </c>
    </row>
    <row r="16">
      <c r="A16" s="2" t="n">
        <v>45567</v>
      </c>
      <c r="B16" t="inlineStr">
        <is>
          <t>North</t>
        </is>
      </c>
      <c r="C16" t="inlineStr">
        <is>
          <t>Widget B</t>
        </is>
      </c>
      <c r="D16" t="n">
        <v>383</v>
      </c>
      <c r="E16" t="n">
        <v>87.48999999999999</v>
      </c>
      <c r="F16">
        <f>D16*E16</f>
        <v/>
      </c>
      <c r="G16">
        <f>D16*57.67</f>
        <v/>
      </c>
      <c r="H16">
        <f>F16-G16</f>
        <v/>
      </c>
    </row>
    <row r="17">
      <c r="A17" s="2" t="n">
        <v>45627</v>
      </c>
      <c r="B17" t="inlineStr">
        <is>
          <t>West</t>
        </is>
      </c>
      <c r="C17" t="inlineStr">
        <is>
          <t>Gadget X</t>
        </is>
      </c>
      <c r="D17" t="n">
        <v>46</v>
      </c>
      <c r="E17" t="n">
        <v>137.83</v>
      </c>
      <c r="F17">
        <f>D17*E17</f>
        <v/>
      </c>
      <c r="G17">
        <f>D17*56.91</f>
        <v/>
      </c>
      <c r="H17">
        <f>F17-G17</f>
        <v/>
      </c>
    </row>
    <row r="18">
      <c r="A18" s="2" t="n">
        <v>45611</v>
      </c>
      <c r="B18" t="inlineStr">
        <is>
          <t>South</t>
        </is>
      </c>
      <c r="C18" t="inlineStr">
        <is>
          <t>Gadget Y</t>
        </is>
      </c>
      <c r="D18" t="n">
        <v>345</v>
      </c>
      <c r="E18" t="n">
        <v>151.71</v>
      </c>
      <c r="F18">
        <f>D18*E18</f>
        <v/>
      </c>
      <c r="G18">
        <f>D18*87.92</f>
        <v/>
      </c>
      <c r="H18">
        <f>F18-G18</f>
        <v/>
      </c>
    </row>
    <row r="19">
      <c r="A19" s="2" t="n">
        <v>45572</v>
      </c>
      <c r="B19" t="inlineStr">
        <is>
          <t>South</t>
        </is>
      </c>
      <c r="C19" t="inlineStr">
        <is>
          <t>Widget A</t>
        </is>
      </c>
      <c r="D19" t="n">
        <v>253</v>
      </c>
      <c r="E19" t="n">
        <v>177.36</v>
      </c>
      <c r="F19">
        <f>D19*E19</f>
        <v/>
      </c>
      <c r="G19">
        <f>D19*76.89</f>
        <v/>
      </c>
      <c r="H19">
        <f>F19-G19</f>
        <v/>
      </c>
    </row>
    <row r="20">
      <c r="A20" s="2" t="n">
        <v>45639</v>
      </c>
      <c r="B20" t="inlineStr">
        <is>
          <t>South</t>
        </is>
      </c>
      <c r="C20" t="inlineStr">
        <is>
          <t>Widget B</t>
        </is>
      </c>
      <c r="D20" t="n">
        <v>29</v>
      </c>
      <c r="E20" t="n">
        <v>115.11</v>
      </c>
      <c r="F20">
        <f>D20*E20</f>
        <v/>
      </c>
      <c r="G20">
        <f>D20*76.47</f>
        <v/>
      </c>
      <c r="H20">
        <f>F20-G20</f>
        <v/>
      </c>
    </row>
    <row r="21">
      <c r="A21" s="2" t="n">
        <v>45633</v>
      </c>
      <c r="B21" t="inlineStr">
        <is>
          <t>South</t>
        </is>
      </c>
      <c r="C21" t="inlineStr">
        <is>
          <t>Widget B</t>
        </is>
      </c>
      <c r="D21" t="n">
        <v>298</v>
      </c>
      <c r="E21" t="n">
        <v>114.73</v>
      </c>
      <c r="F21">
        <f>D21*E21</f>
        <v/>
      </c>
      <c r="G21">
        <f>D21*77.05</f>
        <v/>
      </c>
      <c r="H21">
        <f>F21-G21</f>
        <v/>
      </c>
    </row>
    <row r="22">
      <c r="A22" s="2" t="n">
        <v>45632</v>
      </c>
      <c r="B22" t="inlineStr">
        <is>
          <t>North</t>
        </is>
      </c>
      <c r="C22" t="inlineStr">
        <is>
          <t>Gadget X</t>
        </is>
      </c>
      <c r="D22" t="n">
        <v>486</v>
      </c>
      <c r="E22" t="n">
        <v>197.51</v>
      </c>
      <c r="F22">
        <f>D22*E22</f>
        <v/>
      </c>
      <c r="G22">
        <f>D22*105.78</f>
        <v/>
      </c>
      <c r="H22">
        <f>F22-G22</f>
        <v/>
      </c>
    </row>
    <row r="23">
      <c r="A23" s="2" t="n">
        <v>45635</v>
      </c>
      <c r="B23" t="inlineStr">
        <is>
          <t>North</t>
        </is>
      </c>
      <c r="C23" t="inlineStr">
        <is>
          <t>Widget B</t>
        </is>
      </c>
      <c r="D23" t="n">
        <v>260</v>
      </c>
      <c r="E23" t="n">
        <v>70.2</v>
      </c>
      <c r="F23">
        <f>D23*E23</f>
        <v/>
      </c>
      <c r="G23">
        <f>D23*41.86</f>
        <v/>
      </c>
      <c r="H23">
        <f>F23-G23</f>
        <v/>
      </c>
    </row>
    <row r="24">
      <c r="A24" s="2" t="n">
        <v>45592</v>
      </c>
      <c r="B24" t="inlineStr">
        <is>
          <t>South</t>
        </is>
      </c>
      <c r="C24" t="inlineStr">
        <is>
          <t>Gadget X</t>
        </is>
      </c>
      <c r="D24" t="n">
        <v>495</v>
      </c>
      <c r="E24" t="n">
        <v>38.68</v>
      </c>
      <c r="F24">
        <f>D24*E24</f>
        <v/>
      </c>
      <c r="G24">
        <f>D24*19.32</f>
        <v/>
      </c>
      <c r="H24">
        <f>F24-G24</f>
        <v/>
      </c>
    </row>
    <row r="25">
      <c r="A25" s="2" t="n">
        <v>45616</v>
      </c>
      <c r="B25" t="inlineStr">
        <is>
          <t>West</t>
        </is>
      </c>
      <c r="C25" t="inlineStr">
        <is>
          <t>Gadget X</t>
        </is>
      </c>
      <c r="D25" t="n">
        <v>246</v>
      </c>
      <c r="E25" t="n">
        <v>196.61</v>
      </c>
      <c r="F25">
        <f>D25*E25</f>
        <v/>
      </c>
      <c r="G25">
        <f>D25*104.75</f>
        <v/>
      </c>
      <c r="H25">
        <f>F25-G25</f>
        <v/>
      </c>
    </row>
    <row r="26">
      <c r="A26" s="2" t="n">
        <v>45611</v>
      </c>
      <c r="B26" t="inlineStr">
        <is>
          <t>West</t>
        </is>
      </c>
      <c r="C26" t="inlineStr">
        <is>
          <t>Gadget Y</t>
        </is>
      </c>
      <c r="D26" t="n">
        <v>55</v>
      </c>
      <c r="E26" t="n">
        <v>121.98</v>
      </c>
      <c r="F26">
        <f>D26*E26</f>
        <v/>
      </c>
      <c r="G26">
        <f>D26*52.98</f>
        <v/>
      </c>
      <c r="H26">
        <f>F26-G26</f>
        <v/>
      </c>
    </row>
    <row r="27">
      <c r="A27" s="2" t="n">
        <v>45586</v>
      </c>
      <c r="B27" t="inlineStr">
        <is>
          <t>West</t>
        </is>
      </c>
      <c r="C27" t="inlineStr">
        <is>
          <t>Widget A</t>
        </is>
      </c>
      <c r="D27" t="n">
        <v>331</v>
      </c>
      <c r="E27" t="n">
        <v>183.45</v>
      </c>
      <c r="F27">
        <f>D27*E27</f>
        <v/>
      </c>
      <c r="G27">
        <f>D27*76.43</f>
        <v/>
      </c>
      <c r="H27">
        <f>F27-G27</f>
        <v/>
      </c>
    </row>
    <row r="28">
      <c r="A28" s="2" t="n">
        <v>45579</v>
      </c>
      <c r="B28" t="inlineStr">
        <is>
          <t>North</t>
        </is>
      </c>
      <c r="C28" t="inlineStr">
        <is>
          <t>Gadget Y</t>
        </is>
      </c>
      <c r="D28" t="n">
        <v>463</v>
      </c>
      <c r="E28" t="n">
        <v>41.61</v>
      </c>
      <c r="F28">
        <f>D28*E28</f>
        <v/>
      </c>
      <c r="G28">
        <f>D28*28.48</f>
        <v/>
      </c>
      <c r="H28">
        <f>F28-G28</f>
        <v/>
      </c>
    </row>
    <row r="29">
      <c r="A29" s="2" t="n">
        <v>45648</v>
      </c>
      <c r="B29" t="inlineStr">
        <is>
          <t>North</t>
        </is>
      </c>
      <c r="C29" t="inlineStr">
        <is>
          <t>Gadget Y</t>
        </is>
      </c>
      <c r="D29" t="n">
        <v>194</v>
      </c>
      <c r="E29" t="n">
        <v>153.84</v>
      </c>
      <c r="F29">
        <f>D29*E29</f>
        <v/>
      </c>
      <c r="G29">
        <f>D29*82.53</f>
        <v/>
      </c>
      <c r="H29">
        <f>F29-G29</f>
        <v/>
      </c>
    </row>
    <row r="30">
      <c r="A30" s="2" t="n">
        <v>45623</v>
      </c>
      <c r="B30" t="inlineStr">
        <is>
          <t>North</t>
        </is>
      </c>
      <c r="C30" t="inlineStr">
        <is>
          <t>Gadget X</t>
        </is>
      </c>
      <c r="D30" t="n">
        <v>311</v>
      </c>
      <c r="E30" t="n">
        <v>62.07</v>
      </c>
      <c r="F30">
        <f>D30*E30</f>
        <v/>
      </c>
      <c r="G30">
        <f>D30*33.72</f>
        <v/>
      </c>
      <c r="H30">
        <f>F30-G30</f>
        <v/>
      </c>
    </row>
    <row r="31">
      <c r="A31" s="2" t="n">
        <v>45653</v>
      </c>
      <c r="B31" t="inlineStr">
        <is>
          <t>North</t>
        </is>
      </c>
      <c r="C31" t="inlineStr">
        <is>
          <t>Gadget X</t>
        </is>
      </c>
      <c r="D31" t="n">
        <v>227</v>
      </c>
      <c r="E31" t="n">
        <v>38.19</v>
      </c>
      <c r="F31">
        <f>D31*E31</f>
        <v/>
      </c>
      <c r="G31">
        <f>D31*16.47</f>
        <v/>
      </c>
      <c r="H31">
        <f>F31-G31</f>
        <v/>
      </c>
    </row>
    <row r="32">
      <c r="A32" s="2" t="n">
        <v>45601</v>
      </c>
      <c r="B32" t="inlineStr">
        <is>
          <t>North</t>
        </is>
      </c>
      <c r="C32" t="inlineStr">
        <is>
          <t>Gadget Y</t>
        </is>
      </c>
      <c r="D32" t="n">
        <v>285</v>
      </c>
      <c r="E32" t="n">
        <v>40.53</v>
      </c>
      <c r="F32">
        <f>D32*E32</f>
        <v/>
      </c>
      <c r="G32">
        <f>D32*19.42</f>
        <v/>
      </c>
      <c r="H32">
        <f>F32-G32</f>
        <v/>
      </c>
    </row>
    <row r="33">
      <c r="A33" s="2" t="n">
        <v>45578</v>
      </c>
      <c r="B33" t="inlineStr">
        <is>
          <t>West</t>
        </is>
      </c>
      <c r="C33" t="inlineStr">
        <is>
          <t>Widget A</t>
        </is>
      </c>
      <c r="D33" t="n">
        <v>42</v>
      </c>
      <c r="E33" t="n">
        <v>185.55</v>
      </c>
      <c r="F33">
        <f>D33*E33</f>
        <v/>
      </c>
      <c r="G33">
        <f>D33*85.45</f>
        <v/>
      </c>
      <c r="H33">
        <f>F33-G33</f>
        <v/>
      </c>
    </row>
    <row r="34">
      <c r="A34" s="2" t="n">
        <v>45586</v>
      </c>
      <c r="B34" t="inlineStr">
        <is>
          <t>South</t>
        </is>
      </c>
      <c r="C34" t="inlineStr">
        <is>
          <t>Gadget Y</t>
        </is>
      </c>
      <c r="D34" t="n">
        <v>23</v>
      </c>
      <c r="E34" t="n">
        <v>56.26</v>
      </c>
      <c r="F34">
        <f>D34*E34</f>
        <v/>
      </c>
      <c r="G34">
        <f>D34*23.52</f>
        <v/>
      </c>
      <c r="H34">
        <f>F34-G34</f>
        <v/>
      </c>
    </row>
    <row r="35">
      <c r="A35" s="2" t="n">
        <v>45576</v>
      </c>
      <c r="B35" t="inlineStr">
        <is>
          <t>West</t>
        </is>
      </c>
      <c r="C35" t="inlineStr">
        <is>
          <t>Gadget Y</t>
        </is>
      </c>
      <c r="D35" t="n">
        <v>468</v>
      </c>
      <c r="E35" t="n">
        <v>93.97</v>
      </c>
      <c r="F35">
        <f>D35*E35</f>
        <v/>
      </c>
      <c r="G35">
        <f>D35*64.88</f>
        <v/>
      </c>
      <c r="H35">
        <f>F35-G35</f>
        <v/>
      </c>
    </row>
    <row r="36">
      <c r="A36" s="2" t="n">
        <v>45592</v>
      </c>
      <c r="B36" t="inlineStr">
        <is>
          <t>East</t>
        </is>
      </c>
      <c r="C36" t="inlineStr">
        <is>
          <t>Widget B</t>
        </is>
      </c>
      <c r="D36" t="n">
        <v>101</v>
      </c>
      <c r="E36" t="n">
        <v>148.51</v>
      </c>
      <c r="F36">
        <f>D36*E36</f>
        <v/>
      </c>
      <c r="G36">
        <f>D36*84.72</f>
        <v/>
      </c>
      <c r="H36">
        <f>F36-G36</f>
        <v/>
      </c>
    </row>
    <row r="37">
      <c r="A37" s="2" t="n">
        <v>45631</v>
      </c>
      <c r="B37" t="inlineStr">
        <is>
          <t>North</t>
        </is>
      </c>
      <c r="C37" t="inlineStr">
        <is>
          <t>Gadget Y</t>
        </is>
      </c>
      <c r="D37" t="n">
        <v>441</v>
      </c>
      <c r="E37" t="n">
        <v>70.81</v>
      </c>
      <c r="F37">
        <f>D37*E37</f>
        <v/>
      </c>
      <c r="G37">
        <f>D37*40.39</f>
        <v/>
      </c>
      <c r="H37">
        <f>F37-G37</f>
        <v/>
      </c>
    </row>
    <row r="38">
      <c r="A38" s="2" t="n">
        <v>45649</v>
      </c>
      <c r="B38" t="inlineStr">
        <is>
          <t>North</t>
        </is>
      </c>
      <c r="C38" t="inlineStr">
        <is>
          <t>Widget B</t>
        </is>
      </c>
      <c r="D38" t="n">
        <v>30</v>
      </c>
      <c r="E38" t="n">
        <v>84.95</v>
      </c>
      <c r="F38">
        <f>D38*E38</f>
        <v/>
      </c>
      <c r="G38">
        <f>D38*52.48</f>
        <v/>
      </c>
      <c r="H38">
        <f>F38-G38</f>
        <v/>
      </c>
    </row>
    <row r="39">
      <c r="A39" s="2" t="n">
        <v>45569</v>
      </c>
      <c r="B39" t="inlineStr">
        <is>
          <t>East</t>
        </is>
      </c>
      <c r="C39" t="inlineStr">
        <is>
          <t>Gadget Y</t>
        </is>
      </c>
      <c r="D39" t="n">
        <v>39</v>
      </c>
      <c r="E39" t="n">
        <v>115.21</v>
      </c>
      <c r="F39">
        <f>D39*E39</f>
        <v/>
      </c>
      <c r="G39">
        <f>D39*53.65</f>
        <v/>
      </c>
      <c r="H39">
        <f>F39-G39</f>
        <v/>
      </c>
    </row>
    <row r="40">
      <c r="A40" s="2" t="n">
        <v>45631</v>
      </c>
      <c r="B40" t="inlineStr">
        <is>
          <t>South</t>
        </is>
      </c>
      <c r="C40" t="inlineStr">
        <is>
          <t>Widget A</t>
        </is>
      </c>
      <c r="D40" t="n">
        <v>249</v>
      </c>
      <c r="E40" t="n">
        <v>180.17</v>
      </c>
      <c r="F40">
        <f>D40*E40</f>
        <v/>
      </c>
      <c r="G40">
        <f>D40*112.89</f>
        <v/>
      </c>
      <c r="H40">
        <f>F40-G40</f>
        <v/>
      </c>
    </row>
    <row r="41">
      <c r="A41" s="2" t="n">
        <v>45610</v>
      </c>
      <c r="B41" t="inlineStr">
        <is>
          <t>West</t>
        </is>
      </c>
      <c r="C41" t="inlineStr">
        <is>
          <t>Widget A</t>
        </is>
      </c>
      <c r="D41" t="n">
        <v>187</v>
      </c>
      <c r="E41" t="n">
        <v>193.68</v>
      </c>
      <c r="F41">
        <f>D41*E41</f>
        <v/>
      </c>
      <c r="G41">
        <f>D41*130.61</f>
        <v/>
      </c>
      <c r="H41">
        <f>F41-G41</f>
        <v/>
      </c>
    </row>
    <row r="42">
      <c r="A42" s="2" t="n">
        <v>45616</v>
      </c>
      <c r="B42" t="inlineStr">
        <is>
          <t>East</t>
        </is>
      </c>
      <c r="C42" t="inlineStr">
        <is>
          <t>Widget A</t>
        </is>
      </c>
      <c r="D42" t="n">
        <v>369</v>
      </c>
      <c r="E42" t="n">
        <v>185.52</v>
      </c>
      <c r="F42">
        <f>D42*E42</f>
        <v/>
      </c>
      <c r="G42">
        <f>D42*125.81</f>
        <v/>
      </c>
      <c r="H42">
        <f>F42-G42</f>
        <v/>
      </c>
    </row>
    <row r="43">
      <c r="A43" s="2" t="n">
        <v>45652</v>
      </c>
      <c r="B43" t="inlineStr">
        <is>
          <t>West</t>
        </is>
      </c>
      <c r="C43" t="inlineStr">
        <is>
          <t>Gadget X</t>
        </is>
      </c>
      <c r="D43" t="n">
        <v>309</v>
      </c>
      <c r="E43" t="n">
        <v>43.39</v>
      </c>
      <c r="F43">
        <f>D43*E43</f>
        <v/>
      </c>
      <c r="G43">
        <f>D43*27.68</f>
        <v/>
      </c>
      <c r="H43">
        <f>F43-G43</f>
        <v/>
      </c>
    </row>
    <row r="44">
      <c r="A44" s="2" t="n">
        <v>45648</v>
      </c>
      <c r="B44" t="inlineStr">
        <is>
          <t>West</t>
        </is>
      </c>
      <c r="C44" t="inlineStr">
        <is>
          <t>Widget A</t>
        </is>
      </c>
      <c r="D44" t="n">
        <v>328</v>
      </c>
      <c r="E44" t="n">
        <v>178.54</v>
      </c>
      <c r="F44">
        <f>D44*E44</f>
        <v/>
      </c>
      <c r="G44">
        <f>D44*112.16</f>
        <v/>
      </c>
      <c r="H44">
        <f>F44-G44</f>
        <v/>
      </c>
    </row>
    <row r="45">
      <c r="A45" s="2" t="n">
        <v>45620</v>
      </c>
      <c r="B45" t="inlineStr">
        <is>
          <t>East</t>
        </is>
      </c>
      <c r="C45" t="inlineStr">
        <is>
          <t>Widget A</t>
        </is>
      </c>
      <c r="D45" t="n">
        <v>405</v>
      </c>
      <c r="E45" t="n">
        <v>192.16</v>
      </c>
      <c r="F45">
        <f>D45*E45</f>
        <v/>
      </c>
      <c r="G45">
        <f>D45*100.4</f>
        <v/>
      </c>
      <c r="H45">
        <f>F45-G45</f>
        <v/>
      </c>
    </row>
    <row r="46">
      <c r="A46" s="2" t="n">
        <v>45589</v>
      </c>
      <c r="B46" t="inlineStr">
        <is>
          <t>South</t>
        </is>
      </c>
      <c r="C46" t="inlineStr">
        <is>
          <t>Widget B</t>
        </is>
      </c>
      <c r="D46" t="n">
        <v>128</v>
      </c>
      <c r="E46" t="n">
        <v>81.53</v>
      </c>
      <c r="F46">
        <f>D46*E46</f>
        <v/>
      </c>
      <c r="G46">
        <f>D46*55.22</f>
        <v/>
      </c>
      <c r="H46">
        <f>F46-G46</f>
        <v/>
      </c>
    </row>
    <row r="47">
      <c r="A47" s="2" t="n">
        <v>45574</v>
      </c>
      <c r="B47" t="inlineStr">
        <is>
          <t>North</t>
        </is>
      </c>
      <c r="C47" t="inlineStr">
        <is>
          <t>Widget A</t>
        </is>
      </c>
      <c r="D47" t="n">
        <v>432</v>
      </c>
      <c r="E47" t="n">
        <v>105.57</v>
      </c>
      <c r="F47">
        <f>D47*E47</f>
        <v/>
      </c>
      <c r="G47">
        <f>D47*53.94</f>
        <v/>
      </c>
      <c r="H47">
        <f>F47-G47</f>
        <v/>
      </c>
    </row>
    <row r="48">
      <c r="A48" s="2" t="n">
        <v>45617</v>
      </c>
      <c r="B48" t="inlineStr">
        <is>
          <t>South</t>
        </is>
      </c>
      <c r="C48" t="inlineStr">
        <is>
          <t>Gadget Y</t>
        </is>
      </c>
      <c r="D48" t="n">
        <v>343</v>
      </c>
      <c r="E48" t="n">
        <v>148.91</v>
      </c>
      <c r="F48">
        <f>D48*E48</f>
        <v/>
      </c>
      <c r="G48">
        <f>D48*98.52</f>
        <v/>
      </c>
      <c r="H48">
        <f>F48-G48</f>
        <v/>
      </c>
    </row>
    <row r="49">
      <c r="A49" s="2" t="n">
        <v>45568</v>
      </c>
      <c r="B49" t="inlineStr">
        <is>
          <t>North</t>
        </is>
      </c>
      <c r="C49" t="inlineStr">
        <is>
          <t>Widget B</t>
        </is>
      </c>
      <c r="D49" t="n">
        <v>306</v>
      </c>
      <c r="E49" t="n">
        <v>162.83</v>
      </c>
      <c r="F49">
        <f>D49*E49</f>
        <v/>
      </c>
      <c r="G49">
        <f>D49*95.64</f>
        <v/>
      </c>
      <c r="H49">
        <f>F49-G49</f>
        <v/>
      </c>
    </row>
    <row r="50">
      <c r="A50" s="2" t="n">
        <v>45587</v>
      </c>
      <c r="B50" t="inlineStr">
        <is>
          <t>South</t>
        </is>
      </c>
      <c r="C50" t="inlineStr">
        <is>
          <t>Widget A</t>
        </is>
      </c>
      <c r="D50" t="n">
        <v>76</v>
      </c>
      <c r="E50" t="n">
        <v>128.27</v>
      </c>
      <c r="F50">
        <f>D50*E50</f>
        <v/>
      </c>
      <c r="G50">
        <f>D50*53.55</f>
        <v/>
      </c>
      <c r="H50">
        <f>F50-G50</f>
        <v/>
      </c>
    </row>
    <row r="51">
      <c r="A51" s="2" t="n">
        <v>45582</v>
      </c>
      <c r="B51" t="inlineStr">
        <is>
          <t>South</t>
        </is>
      </c>
      <c r="C51" t="inlineStr">
        <is>
          <t>Gadget X</t>
        </is>
      </c>
      <c r="D51" t="n">
        <v>376</v>
      </c>
      <c r="E51" t="n">
        <v>71.62</v>
      </c>
      <c r="F51">
        <f>D51*E51</f>
        <v/>
      </c>
      <c r="G51">
        <f>D51*44.77</f>
        <v/>
      </c>
      <c r="H51">
        <f>F51-G51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Q4 2024 Sales Summary</t>
        </is>
      </c>
    </row>
    <row r="3">
      <c r="A3" t="inlineStr">
        <is>
          <t>Total Revenue:</t>
        </is>
      </c>
      <c r="B3">
        <f>SUM(Q4_Sales_2024!F2:F51)</f>
        <v/>
      </c>
    </row>
    <row r="4">
      <c r="A4" t="inlineStr">
        <is>
          <t>Total Profit:</t>
        </is>
      </c>
      <c r="B4">
        <f>SUM(Q4_Sales_2024!H2:H51)</f>
        <v/>
      </c>
    </row>
    <row r="5">
      <c r="A5" t="inlineStr">
        <is>
          <t>Total Units:</t>
        </is>
      </c>
      <c r="B5">
        <f>SUM(Q4_Sales_2024!D2:D51)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Launch_Date</t>
        </is>
      </c>
    </row>
    <row r="2">
      <c r="A2" t="inlineStr">
        <is>
          <t>P001</t>
        </is>
      </c>
      <c r="B2" t="inlineStr">
        <is>
          <t>Widget A</t>
        </is>
      </c>
      <c r="C2" t="inlineStr">
        <is>
          <t>Hardware</t>
        </is>
      </c>
      <c r="D2" t="inlineStr">
        <is>
          <t>2023-01-15</t>
        </is>
      </c>
    </row>
    <row r="3">
      <c r="A3" t="inlineStr">
        <is>
          <t>P002</t>
        </is>
      </c>
      <c r="B3" t="inlineStr">
        <is>
          <t>Widget B</t>
        </is>
      </c>
      <c r="C3" t="inlineStr">
        <is>
          <t>Hardware</t>
        </is>
      </c>
      <c r="D3" t="inlineStr">
        <is>
          <t>2023-03-22</t>
        </is>
      </c>
    </row>
    <row r="4">
      <c r="A4" t="inlineStr">
        <is>
          <t>P003</t>
        </is>
      </c>
      <c r="B4" t="inlineStr">
        <is>
          <t>Gadget X</t>
        </is>
      </c>
      <c r="C4" t="inlineStr">
        <is>
          <t>Electronics</t>
        </is>
      </c>
      <c r="D4" t="inlineStr">
        <is>
          <t>2023-06-10</t>
        </is>
      </c>
    </row>
    <row r="5">
      <c r="A5" t="inlineStr">
        <is>
          <t>P004</t>
        </is>
      </c>
      <c r="B5" t="inlineStr">
        <is>
          <t>Gadget Y</t>
        </is>
      </c>
      <c r="C5" t="inlineStr">
        <is>
          <t>Electronics</t>
        </is>
      </c>
      <c r="D5" t="inlineStr">
        <is>
          <t>2023-09-05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Q4 2024 Sales Report</dc:title>
  <dc:subject>Quarterly sales analysis with regional breakdown</dc:subject>
  <dcterms:created xsi:type="dcterms:W3CDTF">2024-10-01T09:00:00Z</dcterms:created>
  <dcterms:modified xsi:type="dcterms:W3CDTF">2026-10-09T02:17:23Z</dcterms:modified>
</cp:coreProperties>
</file>